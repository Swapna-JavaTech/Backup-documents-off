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eshr\Downloads\"/>
    </mc:Choice>
  </mc:AlternateContent>
  <xr:revisionPtr revIDLastSave="0" documentId="13_ncr:1_{72ABFA67-EE38-4653-A364-DA2C4405381D}" xr6:coauthVersionLast="47" xr6:coauthVersionMax="47" xr10:uidLastSave="{00000000-0000-0000-0000-000000000000}"/>
  <bookViews>
    <workbookView xWindow="-110" yWindow="-110" windowWidth="19420" windowHeight="10300" xr2:uid="{D4DB0511-7527-45C6-8A1A-88D53F329200}"/>
  </bookViews>
  <sheets>
    <sheet name="Computation" sheetId="1" r:id="rId1"/>
    <sheet name="Lists" sheetId="2" state="hidden" r:id="rId2"/>
  </sheets>
  <definedNames>
    <definedName name="SB_1">Lists!$A$2:$A$10</definedName>
    <definedName name="SB_2">Lists!$B$2:$B$10</definedName>
    <definedName name="SB_3">Lists!$C$2:$C$10</definedName>
    <definedName name="SB_4">Lists!$D$2:$D$10</definedName>
    <definedName name="SB_5">Lists!$E$2:$E$10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6" i="1" l="1"/>
  <c r="E26" i="1"/>
  <c r="G26" i="1"/>
  <c r="H26" i="1"/>
  <c r="D26" i="1"/>
  <c r="C26" i="1"/>
  <c r="C2" i="1"/>
  <c r="C3" i="1" s="1"/>
  <c r="H11" i="1"/>
  <c r="D11" i="1"/>
  <c r="I41" i="1"/>
  <c r="E41" i="1"/>
  <c r="I12" i="1"/>
  <c r="E12" i="1"/>
  <c r="H12" i="1"/>
  <c r="D12" i="1"/>
  <c r="I11" i="1"/>
  <c r="E11" i="1"/>
  <c r="D8" i="1" l="1"/>
  <c r="D13" i="1" l="1"/>
  <c r="D21" i="1" s="1"/>
  <c r="D27" i="1" s="1"/>
  <c r="I16" i="1"/>
  <c r="I22" i="1" s="1"/>
  <c r="E16" i="1"/>
  <c r="E22" i="1" s="1"/>
  <c r="H16" i="1"/>
  <c r="H22" i="1" s="1"/>
  <c r="D16" i="1"/>
  <c r="D22" i="1" s="1"/>
  <c r="G8" i="1"/>
  <c r="G13" i="1" s="1"/>
  <c r="G21" i="1" s="1"/>
  <c r="G27" i="1" s="1"/>
  <c r="G39" i="1" s="1"/>
  <c r="G38" i="1" s="1"/>
  <c r="E8" i="1"/>
  <c r="E10" i="1" s="1"/>
  <c r="C8" i="1"/>
  <c r="C9" i="1" s="1"/>
  <c r="H8" i="1"/>
  <c r="D9" i="1"/>
  <c r="H9" i="1" s="1"/>
  <c r="D10" i="1"/>
  <c r="I13" i="1" l="1"/>
  <c r="I21" i="1" s="1"/>
  <c r="I27" i="1" s="1"/>
  <c r="I39" i="1" s="1"/>
  <c r="I38" i="1" s="1"/>
  <c r="H13" i="1"/>
  <c r="H21" i="1" s="1"/>
  <c r="H27" i="1" s="1"/>
  <c r="C13" i="1"/>
  <c r="E9" i="1"/>
  <c r="I9" i="1" s="1"/>
  <c r="G9" i="1"/>
  <c r="G14" i="1" s="1"/>
  <c r="E13" i="1"/>
  <c r="E21" i="1" s="1"/>
  <c r="E27" i="1" s="1"/>
  <c r="I8" i="1"/>
  <c r="I10" i="1" s="1"/>
  <c r="D14" i="1"/>
  <c r="D18" i="1" s="1"/>
  <c r="H10" i="1"/>
  <c r="D24" i="1" l="1"/>
  <c r="D31" i="1" s="1"/>
  <c r="H14" i="1"/>
  <c r="H18" i="1" s="1"/>
  <c r="H24" i="1" s="1"/>
  <c r="E39" i="1"/>
  <c r="E38" i="1" s="1"/>
  <c r="C21" i="1"/>
  <c r="C27" i="1" s="1"/>
  <c r="C14" i="1"/>
  <c r="C18" i="1" s="1"/>
  <c r="E14" i="1"/>
  <c r="E18" i="1" s="1"/>
  <c r="E24" i="1" s="1"/>
  <c r="E35" i="1" s="1"/>
  <c r="G18" i="1"/>
  <c r="G24" i="1" s="1"/>
  <c r="G31" i="1" s="1"/>
  <c r="I14" i="1"/>
  <c r="I18" i="1" s="1"/>
  <c r="I24" i="1" s="1"/>
  <c r="D35" i="1" l="1"/>
  <c r="D36" i="1" s="1"/>
  <c r="E36" i="1"/>
  <c r="E44" i="1" s="1"/>
  <c r="E49" i="1" s="1"/>
  <c r="C24" i="1"/>
  <c r="C35" i="1" s="1"/>
  <c r="C36" i="1" s="1"/>
  <c r="E31" i="1"/>
  <c r="G35" i="1"/>
  <c r="I35" i="1"/>
  <c r="I31" i="1"/>
  <c r="H35" i="1"/>
  <c r="H36" i="1" s="1"/>
  <c r="H31" i="1"/>
  <c r="I36" i="1" l="1"/>
  <c r="I44" i="1" s="1"/>
  <c r="G36" i="1"/>
  <c r="G44" i="1" s="1"/>
  <c r="E48" i="1"/>
  <c r="E47" i="1"/>
  <c r="C31" i="1"/>
  <c r="H44" i="1"/>
  <c r="D44" i="1"/>
  <c r="C44" i="1"/>
  <c r="G48" i="1" l="1"/>
  <c r="G47" i="1"/>
  <c r="G49" i="1"/>
  <c r="I47" i="1"/>
  <c r="I48" i="1"/>
  <c r="I49" i="1"/>
  <c r="E45" i="1"/>
  <c r="E53" i="1" s="1"/>
  <c r="E54" i="1" s="1"/>
  <c r="C47" i="1"/>
  <c r="C48" i="1"/>
  <c r="C49" i="1"/>
  <c r="C50" i="1"/>
  <c r="D47" i="1"/>
  <c r="D50" i="1"/>
  <c r="H47" i="1"/>
  <c r="H50" i="1"/>
  <c r="H48" i="1"/>
  <c r="H52" i="1"/>
  <c r="H51" i="1"/>
  <c r="D49" i="1"/>
  <c r="D48" i="1"/>
  <c r="D52" i="1"/>
  <c r="C52" i="1"/>
  <c r="C51" i="1"/>
  <c r="D51" i="1" s="1"/>
  <c r="H49" i="1"/>
  <c r="I45" i="1" l="1"/>
  <c r="I53" i="1" s="1"/>
  <c r="G45" i="1"/>
  <c r="G53" i="1" s="1"/>
  <c r="G54" i="1" s="1"/>
  <c r="E55" i="1"/>
  <c r="E57" i="1" s="1"/>
  <c r="E58" i="1" s="1"/>
  <c r="H45" i="1"/>
  <c r="C45" i="1"/>
  <c r="D45" i="1"/>
  <c r="G55" i="1" l="1"/>
  <c r="G57" i="1" s="1"/>
  <c r="G58" i="1" s="1"/>
  <c r="I54" i="1"/>
  <c r="I55" i="1" s="1"/>
  <c r="I57" i="1" s="1"/>
  <c r="I58" i="1" s="1"/>
  <c r="C53" i="1"/>
  <c r="C54" i="1" s="1"/>
  <c r="D53" i="1"/>
  <c r="D54" i="1" s="1"/>
  <c r="H53" i="1"/>
  <c r="H54" i="1" s="1"/>
  <c r="C55" i="1" l="1"/>
  <c r="C57" i="1" s="1"/>
  <c r="C58" i="1" s="1"/>
  <c r="H55" i="1"/>
  <c r="H57" i="1" s="1"/>
  <c r="H58" i="1" s="1"/>
  <c r="D55" i="1"/>
  <c r="D57" i="1" s="1"/>
  <c r="D58" i="1" s="1"/>
</calcChain>
</file>

<file path=xl/sharedStrings.xml><?xml version="1.0" encoding="utf-8"?>
<sst xmlns="http://schemas.openxmlformats.org/spreadsheetml/2006/main" count="105" uniqueCount="73">
  <si>
    <t>Current Scheme</t>
  </si>
  <si>
    <t>Current Code</t>
  </si>
  <si>
    <t>Basic</t>
  </si>
  <si>
    <t>HRA</t>
  </si>
  <si>
    <t>Conveyance</t>
  </si>
  <si>
    <t>Lunch Coupon</t>
  </si>
  <si>
    <t>Fuel</t>
  </si>
  <si>
    <t>Employer PF</t>
  </si>
  <si>
    <t>Personal Pay</t>
  </si>
  <si>
    <t>NPS Employee Contribution</t>
  </si>
  <si>
    <t>NPS Employer Contribution</t>
  </si>
  <si>
    <t>Gross CTC</t>
  </si>
  <si>
    <t>Less - Employer Contributions</t>
  </si>
  <si>
    <t>Net CTC</t>
  </si>
  <si>
    <t>Less - Statutory Deductions</t>
  </si>
  <si>
    <t>Employee PF</t>
  </si>
  <si>
    <t>Professional Tax</t>
  </si>
  <si>
    <t>VPF</t>
  </si>
  <si>
    <t>Net Take home before Taxes</t>
  </si>
  <si>
    <t>A</t>
  </si>
  <si>
    <t>Computation of Income tax</t>
  </si>
  <si>
    <t>Taxable Salary</t>
  </si>
  <si>
    <t>Less - Standard Deduction</t>
  </si>
  <si>
    <t>Taxable Income</t>
  </si>
  <si>
    <t>B</t>
  </si>
  <si>
    <t>Income tax</t>
  </si>
  <si>
    <t>0-400000</t>
  </si>
  <si>
    <t xml:space="preserve"> </t>
  </si>
  <si>
    <t>400000-800000</t>
  </si>
  <si>
    <t>800000-1200000</t>
  </si>
  <si>
    <t>1200000-1600000</t>
  </si>
  <si>
    <t>1600000-2000000</t>
  </si>
  <si>
    <t>2000000-2400000</t>
  </si>
  <si>
    <t>2400000&gt;</t>
  </si>
  <si>
    <t>SHEC</t>
  </si>
  <si>
    <t>Income tax rebate</t>
  </si>
  <si>
    <t>Total Tax</t>
  </si>
  <si>
    <t>Net Take Home after Taxes</t>
  </si>
  <si>
    <t>A-B</t>
  </si>
  <si>
    <t>Net Take home per month</t>
  </si>
  <si>
    <t>Old</t>
  </si>
  <si>
    <t>Chapter 6 A Deduction</t>
  </si>
  <si>
    <t>Housing Loan Interest (Max 2 Lac)</t>
  </si>
  <si>
    <t>80C Max 1.5 Lac</t>
  </si>
  <si>
    <t>PF cont</t>
  </si>
  <si>
    <t>Other Investment</t>
  </si>
  <si>
    <t>NA</t>
  </si>
  <si>
    <t>None</t>
  </si>
  <si>
    <t>Food</t>
  </si>
  <si>
    <t>NPS</t>
  </si>
  <si>
    <t>Food+Fuel</t>
  </si>
  <si>
    <t>Food+NPS</t>
  </si>
  <si>
    <t>Food+Fuel+NPS</t>
  </si>
  <si>
    <t>Salary Base</t>
  </si>
  <si>
    <t>Tax Saving options</t>
  </si>
  <si>
    <t>SB_5</t>
  </si>
  <si>
    <t>SB_1</t>
  </si>
  <si>
    <t>SB_2</t>
  </si>
  <si>
    <t>SB_3</t>
  </si>
  <si>
    <t>SB_4</t>
  </si>
  <si>
    <t>80CCD NPS Max 50,000</t>
  </si>
  <si>
    <t>CTC as per Latest Appraisal letter</t>
  </si>
  <si>
    <t>Annual CTC</t>
  </si>
  <si>
    <t>New Wage Code - Proposed - Option A- with 1800 per month PF contribution</t>
  </si>
  <si>
    <t>New Wage Code - Proposed with Satutory PF - 12% of Basic</t>
  </si>
  <si>
    <t>(input monthly salary mentioned in Latest appraisal letter)</t>
  </si>
  <si>
    <t>(Select and option for tax saving)</t>
  </si>
  <si>
    <t>(Input your voluntary PF contribution)</t>
  </si>
  <si>
    <t>(input your monthly NPS contribution)</t>
  </si>
  <si>
    <t>(input investment in Mutual Funds, home loan principle etc)</t>
  </si>
  <si>
    <t>(Input Home Loan interest)</t>
  </si>
  <si>
    <t>New Tax Regime</t>
  </si>
  <si>
    <t>Old Tax 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</si>
</sst>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EFDC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hair">
        <color theme="3" tint="9.9948118533890809E-2"/>
      </left>
      <right style="hair">
        <color theme="3" tint="9.9948118533890809E-2"/>
      </right>
      <top/>
      <bottom/>
      <diagonal/>
    </border>
    <border>
      <left style="hair">
        <color theme="3" tint="9.9948118533890809E-2"/>
      </left>
      <right style="hair">
        <color theme="3" tint="9.9948118533890809E-2"/>
      </right>
      <top style="hair">
        <color theme="3" tint="9.9948118533890809E-2"/>
      </top>
      <bottom/>
      <diagonal/>
    </border>
    <border>
      <left style="hair">
        <color theme="3" tint="9.9948118533890809E-2"/>
      </left>
      <right style="hair">
        <color theme="3" tint="9.9948118533890809E-2"/>
      </right>
      <top/>
      <bottom style="hair">
        <color theme="3" tint="9.9948118533890809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3" tint="9.9948118533890809E-2"/>
      </left>
      <right style="hair">
        <color theme="3" tint="9.9948118533890809E-2"/>
      </right>
      <top style="hair">
        <color theme="3" tint="9.9917600024414813E-2"/>
      </top>
      <bottom style="hair">
        <color theme="3" tint="9.9948118533890809E-2"/>
      </bottom>
      <diagonal/>
    </border>
    <border>
      <left/>
      <right/>
      <top style="hair">
        <color theme="3" tint="9.9917600024414813E-2"/>
      </top>
      <bottom style="hair">
        <color theme="3" tint="9.9948118533890809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43" fontId="0" fillId="0" borderId="1" xfId="1" applyFont="1" applyBorder="1"/>
    <xf numFmtId="164" fontId="0" fillId="0" borderId="1" xfId="0" applyNumberFormat="1" applyBorder="1"/>
    <xf numFmtId="43" fontId="0" fillId="0" borderId="1" xfId="1" applyFont="1" applyFill="1" applyBorder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 applyAlignment="1">
      <alignment horizontal="left" indent="2"/>
    </xf>
    <xf numFmtId="0" fontId="2" fillId="3" borderId="1" xfId="0" applyFont="1" applyFill="1" applyBorder="1"/>
    <xf numFmtId="43" fontId="2" fillId="3" borderId="1" xfId="1" applyFont="1" applyFill="1" applyBorder="1"/>
    <xf numFmtId="0" fontId="3" fillId="0" borderId="1" xfId="0" applyFont="1" applyBorder="1"/>
    <xf numFmtId="43" fontId="3" fillId="0" borderId="1" xfId="1" applyFont="1" applyBorder="1"/>
    <xf numFmtId="0" fontId="5" fillId="0" borderId="1" xfId="0" applyFont="1" applyBorder="1" applyAlignment="1">
      <alignment horizontal="left" indent="2"/>
    </xf>
    <xf numFmtId="0" fontId="5" fillId="0" borderId="1" xfId="0" applyFont="1" applyBorder="1"/>
    <xf numFmtId="43" fontId="5" fillId="0" borderId="1" xfId="1" applyFont="1" applyBorder="1"/>
    <xf numFmtId="9" fontId="5" fillId="0" borderId="1" xfId="0" applyNumberFormat="1" applyFont="1" applyBorder="1"/>
    <xf numFmtId="0" fontId="3" fillId="4" borderId="1" xfId="0" applyFont="1" applyFill="1" applyBorder="1"/>
    <xf numFmtId="43" fontId="3" fillId="4" borderId="1" xfId="1" applyFont="1" applyFill="1" applyBorder="1"/>
    <xf numFmtId="0" fontId="2" fillId="3" borderId="3" xfId="0" applyFont="1" applyFill="1" applyBorder="1"/>
    <xf numFmtId="43" fontId="2" fillId="3" borderId="3" xfId="1" applyFont="1" applyFill="1" applyBorder="1"/>
    <xf numFmtId="0" fontId="0" fillId="0" borderId="1" xfId="0" applyBorder="1" applyAlignment="1">
      <alignment horizontal="left" indent="1"/>
    </xf>
    <xf numFmtId="0" fontId="0" fillId="5" borderId="7" xfId="0" applyFill="1" applyBorder="1"/>
    <xf numFmtId="0" fontId="0" fillId="5" borderId="0" xfId="0" applyFill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4" fillId="6" borderId="4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43" fontId="1" fillId="0" borderId="1" xfId="1" applyFont="1" applyBorder="1"/>
    <xf numFmtId="0" fontId="3" fillId="0" borderId="0" xfId="0" applyFont="1"/>
    <xf numFmtId="0" fontId="5" fillId="0" borderId="1" xfId="0" applyFont="1" applyBorder="1" applyAlignment="1">
      <alignment horizontal="left" indent="3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2" xfId="0" applyBorder="1"/>
    <xf numFmtId="0" fontId="3" fillId="0" borderId="13" xfId="0" applyFont="1" applyBorder="1"/>
    <xf numFmtId="0" fontId="3" fillId="0" borderId="14" xfId="0" applyFont="1" applyBorder="1" applyAlignment="1">
      <alignment horizontal="center"/>
    </xf>
    <xf numFmtId="43" fontId="3" fillId="0" borderId="13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7" borderId="12" xfId="0" applyFill="1" applyBorder="1" applyProtection="1">
      <protection locked="0"/>
    </xf>
    <xf numFmtId="43" fontId="1" fillId="7" borderId="1" xfId="1" applyFont="1" applyFill="1" applyBorder="1" applyProtection="1">
      <protection locked="0"/>
    </xf>
    <xf numFmtId="43" fontId="5" fillId="7" borderId="1" xfId="1" applyFont="1" applyFill="1" applyBorder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43" fontId="0" fillId="8" borderId="1" xfId="1" applyFont="1" applyFill="1" applyBorder="1"/>
    <xf numFmtId="43" fontId="0" fillId="8" borderId="1" xfId="1" applyFont="1" applyFill="1" applyBorder="1" applyAlignment="1">
      <alignment horizontal="center"/>
    </xf>
    <xf numFmtId="43" fontId="3" fillId="8" borderId="1" xfId="1" applyFont="1" applyFill="1" applyBorder="1"/>
    <xf numFmtId="43" fontId="5" fillId="8" borderId="1" xfId="1" applyFont="1" applyFill="1" applyBorder="1"/>
    <xf numFmtId="0" fontId="0" fillId="0" borderId="12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EFD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93A7-DCA6-4FE5-A5F9-D8189F9B682A}">
  <dimension ref="A1:O62"/>
  <sheetViews>
    <sheetView showGridLines="0" tabSelected="1" zoomScale="68" workbookViewId="0">
      <pane xSplit="2" ySplit="7" topLeftCell="C54" activePane="bottomRight" state="frozen"/>
      <selection pane="topRight" activeCell="C1" sqref="C1"/>
      <selection pane="bottomLeft" activeCell="A8" sqref="A8"/>
      <selection pane="bottomRight" activeCell="D62" sqref="D62"/>
    </sheetView>
  </sheetViews>
  <sheetFormatPr defaultColWidth="0" defaultRowHeight="14.5" zeroHeight="1" x14ac:dyDescent="0.35"/>
  <cols>
    <col min="1" max="1" width="30" bestFit="1" customWidth="1"/>
    <col min="2" max="2" width="4" style="37" customWidth="1"/>
    <col min="3" max="5" width="18.08984375" customWidth="1"/>
    <col min="6" max="6" width="3.1796875" customWidth="1"/>
    <col min="7" max="7" width="18.08984375" hidden="1" customWidth="1"/>
    <col min="8" max="9" width="18.08984375" customWidth="1"/>
    <col min="10" max="12" width="8.7265625" customWidth="1"/>
    <col min="13" max="13" width="31.81640625" customWidth="1"/>
    <col min="14" max="15" width="0" hidden="1" customWidth="1"/>
    <col min="16" max="16384" width="8.7265625" hidden="1"/>
  </cols>
  <sheetData>
    <row r="1" spans="1:13" x14ac:dyDescent="0.35">
      <c r="A1" s="60" t="s">
        <v>61</v>
      </c>
      <c r="B1" s="60"/>
      <c r="C1" s="50">
        <v>0</v>
      </c>
      <c r="E1" t="s">
        <v>65</v>
      </c>
    </row>
    <row r="2" spans="1:13" x14ac:dyDescent="0.35">
      <c r="A2" s="60" t="s">
        <v>62</v>
      </c>
      <c r="B2" s="60"/>
      <c r="C2" s="45">
        <f>C1*12</f>
        <v>0</v>
      </c>
    </row>
    <row r="3" spans="1:13" hidden="1" x14ac:dyDescent="0.35">
      <c r="A3" s="60" t="s">
        <v>53</v>
      </c>
      <c r="B3" s="60"/>
      <c r="C3" s="45" t="str">
        <f>IF(C2&lt;=1355000,"SB_1",IF(AND(C2&gt;1355000,C2&lt;=1405000),"SB_2",IF(AND(C2&gt;1405000,C2&lt;=3000000),"SB_3",IF(AND(C2&gt;3000000,C2&lt;=6000000),"SB_4","SB_5"))))</f>
        <v>SB_1</v>
      </c>
    </row>
    <row r="4" spans="1:13" x14ac:dyDescent="0.35">
      <c r="A4" s="60" t="s">
        <v>54</v>
      </c>
      <c r="B4" s="60"/>
      <c r="C4" s="50"/>
      <c r="E4" t="s">
        <v>66</v>
      </c>
    </row>
    <row r="5" spans="1:13" x14ac:dyDescent="0.35"/>
    <row r="6" spans="1:13" x14ac:dyDescent="0.35">
      <c r="A6" s="46"/>
      <c r="B6" s="47"/>
      <c r="C6" s="48"/>
      <c r="D6" s="48" t="s">
        <v>71</v>
      </c>
      <c r="E6" s="48" t="s">
        <v>72</v>
      </c>
      <c r="F6" s="35"/>
      <c r="G6" s="48" t="s">
        <v>40</v>
      </c>
      <c r="H6" s="49" t="s">
        <v>71</v>
      </c>
      <c r="I6" s="49" t="s">
        <v>72</v>
      </c>
    </row>
    <row r="7" spans="1:13" ht="58" x14ac:dyDescent="0.35">
      <c r="A7" s="4" t="s">
        <v>0</v>
      </c>
      <c r="B7" s="4"/>
      <c r="C7" s="5" t="s">
        <v>1</v>
      </c>
      <c r="D7" s="4" t="s">
        <v>64</v>
      </c>
      <c r="E7" s="4" t="s">
        <v>64</v>
      </c>
      <c r="G7" s="5" t="s">
        <v>1</v>
      </c>
      <c r="H7" s="4" t="s">
        <v>63</v>
      </c>
      <c r="I7" s="4" t="s">
        <v>63</v>
      </c>
    </row>
    <row r="8" spans="1:13" x14ac:dyDescent="0.35">
      <c r="A8" s="1" t="s">
        <v>2</v>
      </c>
      <c r="B8" s="3"/>
      <c r="C8" s="56">
        <f>C2*0.3</f>
        <v>0</v>
      </c>
      <c r="D8" s="6">
        <f>C2*0.5</f>
        <v>0</v>
      </c>
      <c r="E8" s="6">
        <f>C2*0.5</f>
        <v>0</v>
      </c>
      <c r="G8" s="6">
        <f>C2*0.3</f>
        <v>0</v>
      </c>
      <c r="H8" s="7">
        <f>D8</f>
        <v>0</v>
      </c>
      <c r="I8" s="7">
        <f>E8</f>
        <v>0</v>
      </c>
      <c r="J8" s="53"/>
      <c r="K8" s="53"/>
      <c r="L8" s="53"/>
      <c r="M8" s="53"/>
    </row>
    <row r="9" spans="1:13" x14ac:dyDescent="0.35">
      <c r="A9" s="1" t="s">
        <v>3</v>
      </c>
      <c r="B9" s="3"/>
      <c r="C9" s="56">
        <f>ROUND(C8*0.4,0)</f>
        <v>0</v>
      </c>
      <c r="D9" s="6">
        <f>D8*0.6</f>
        <v>0</v>
      </c>
      <c r="E9" s="6">
        <f>E8*0.6</f>
        <v>0</v>
      </c>
      <c r="G9" s="6">
        <f>ROUND(G8*0.4,0)</f>
        <v>0</v>
      </c>
      <c r="H9" s="7">
        <f>D9</f>
        <v>0</v>
      </c>
      <c r="I9" s="7">
        <f>E9</f>
        <v>0</v>
      </c>
      <c r="J9" s="53"/>
      <c r="K9" s="53"/>
      <c r="L9" s="53"/>
      <c r="M9" s="53"/>
    </row>
    <row r="10" spans="1:13" x14ac:dyDescent="0.35">
      <c r="A10" s="1" t="s">
        <v>4</v>
      </c>
      <c r="B10" s="3"/>
      <c r="C10" s="56">
        <v>0</v>
      </c>
      <c r="D10" s="6">
        <f>D8*0.1</f>
        <v>0</v>
      </c>
      <c r="E10" s="6">
        <f>E8*0.1</f>
        <v>0</v>
      </c>
      <c r="G10" s="6">
        <v>0</v>
      </c>
      <c r="H10" s="6">
        <f>H8*0.1</f>
        <v>0</v>
      </c>
      <c r="I10" s="6">
        <f>I8*0.1</f>
        <v>0</v>
      </c>
      <c r="J10" s="53"/>
      <c r="K10" s="53"/>
      <c r="L10" s="53"/>
      <c r="M10" s="53"/>
    </row>
    <row r="11" spans="1:13" x14ac:dyDescent="0.35">
      <c r="A11" s="1" t="s">
        <v>5</v>
      </c>
      <c r="B11" s="3"/>
      <c r="C11" s="56"/>
      <c r="D11" s="6">
        <f>IF(OR(C4="Food",C4="Food+Fuel",C4="Food+NPS",C4="Food+Fuel+NPS"),4200*12,0)</f>
        <v>0</v>
      </c>
      <c r="E11" s="6">
        <f>IF(OR(C4="Food",C4="Food+Fuel",C4="Food+NPS",C4="Food+Fuel+NPS"),4200*12,0)</f>
        <v>0</v>
      </c>
      <c r="G11" s="6"/>
      <c r="H11" s="6">
        <f>IF(OR(C4="Food",C4="Food+Fuel",C4="Food+NPS",C4="Food+Fuel+NPS"),4200*12,0)</f>
        <v>0</v>
      </c>
      <c r="I11" s="6">
        <f>IF(OR(C4="Food",C4="Food+Fuel",C4="Food+NPS",C4="Food+Fuel+NPS"),4200*12,0)</f>
        <v>0</v>
      </c>
      <c r="J11" s="53"/>
      <c r="K11" s="53"/>
      <c r="L11" s="53"/>
      <c r="M11" s="53"/>
    </row>
    <row r="12" spans="1:13" x14ac:dyDescent="0.35">
      <c r="A12" s="1" t="s">
        <v>6</v>
      </c>
      <c r="B12" s="3"/>
      <c r="C12" s="56"/>
      <c r="D12" s="6">
        <f>IF(OR(C4="Food+Fuel",C4="Food+Fuel+NPS"),5000*12,0)</f>
        <v>0</v>
      </c>
      <c r="E12" s="6">
        <f>IF(OR(C4="Food+Fuel",C4="Food+Fuel+NPS"),5000*12,0)</f>
        <v>0</v>
      </c>
      <c r="G12" s="6"/>
      <c r="H12" s="6">
        <f>IF(OR(C4="Food+Fuel",C4="Food+Fuel+NPS"),5000*12,0)</f>
        <v>0</v>
      </c>
      <c r="I12" s="6">
        <f>IF(OR(C4="Food+Fuel",C4="Food+Fuel+NPS"),5000*12,0)</f>
        <v>0</v>
      </c>
      <c r="J12" s="53"/>
      <c r="K12" s="53"/>
      <c r="L12" s="53"/>
      <c r="M12" s="53"/>
    </row>
    <row r="13" spans="1:13" x14ac:dyDescent="0.35">
      <c r="A13" s="1" t="s">
        <v>7</v>
      </c>
      <c r="B13" s="3"/>
      <c r="C13" s="56">
        <f>C8*12%</f>
        <v>0</v>
      </c>
      <c r="D13" s="8">
        <f>D8*12%</f>
        <v>0</v>
      </c>
      <c r="E13" s="8">
        <f>E8*12%</f>
        <v>0</v>
      </c>
      <c r="G13" s="8">
        <f>G8*12%</f>
        <v>0</v>
      </c>
      <c r="H13" s="8">
        <f>IF(H8&gt;15000,1800*12,0)</f>
        <v>0</v>
      </c>
      <c r="I13" s="8">
        <f>IF(H8&gt;15000,1800*12,0)</f>
        <v>0</v>
      </c>
      <c r="J13" s="53"/>
      <c r="K13" s="53"/>
      <c r="L13" s="53"/>
      <c r="M13" s="53"/>
    </row>
    <row r="14" spans="1:13" x14ac:dyDescent="0.35">
      <c r="A14" s="1" t="s">
        <v>8</v>
      </c>
      <c r="B14" s="3"/>
      <c r="C14" s="56">
        <f>C$2-C8-C9-C10-C11-C12-C13-C16</f>
        <v>0</v>
      </c>
      <c r="D14" s="6">
        <f>C$2-D8-D9-D10-D11-D12-D13-D16</f>
        <v>0</v>
      </c>
      <c r="E14" s="6">
        <f>C$2-E8-E9-E10-E11-E12-E13-E16</f>
        <v>0</v>
      </c>
      <c r="G14" s="6">
        <f>C$2-G8-G9-G10-G11-G12-G13-G16</f>
        <v>0</v>
      </c>
      <c r="H14" s="6">
        <f>C$2-H8-H9-H10-H11-H12-H13-H16</f>
        <v>0</v>
      </c>
      <c r="I14" s="6">
        <f>C$2-I8-I9-I10-I11-I12-I13-I16</f>
        <v>0</v>
      </c>
      <c r="J14" s="53"/>
      <c r="K14" s="53"/>
      <c r="L14" s="53"/>
      <c r="M14" s="53"/>
    </row>
    <row r="15" spans="1:13" x14ac:dyDescent="0.35">
      <c r="A15" s="1" t="s">
        <v>9</v>
      </c>
      <c r="B15" s="3"/>
      <c r="C15" s="56">
        <v>0</v>
      </c>
      <c r="D15" s="6">
        <v>0</v>
      </c>
      <c r="E15" s="6">
        <v>0</v>
      </c>
      <c r="G15" s="6">
        <v>0</v>
      </c>
      <c r="H15" s="6">
        <v>0</v>
      </c>
      <c r="I15" s="6">
        <v>0</v>
      </c>
      <c r="J15" s="53"/>
      <c r="K15" s="53"/>
      <c r="L15" s="53"/>
      <c r="M15" s="53"/>
    </row>
    <row r="16" spans="1:13" x14ac:dyDescent="0.35">
      <c r="A16" s="1" t="s">
        <v>10</v>
      </c>
      <c r="B16" s="3"/>
      <c r="C16" s="56">
        <v>0</v>
      </c>
      <c r="D16" s="6">
        <f>IF(OR(C4="NPS",C4="Food+NPS",C4="Food+Fuel+NPS"),D8*14%,0)</f>
        <v>0</v>
      </c>
      <c r="E16" s="6">
        <f>IF(OR(C4="NPS",C4="Food+NPS",C4="Food+Fuel+NPS"),D8*14%,0)</f>
        <v>0</v>
      </c>
      <c r="G16" s="6">
        <v>0</v>
      </c>
      <c r="H16" s="6">
        <f>IF(OR(C4="NPS",C4="Food+NPS",C4="Food+Fuel+NPS"),D8*14%,0)</f>
        <v>0</v>
      </c>
      <c r="I16" s="6">
        <f>IF(OR(C4="NPS",C4="Food+NPS",C4="Food+Fuel+NPS"),D8*14%,0)</f>
        <v>0</v>
      </c>
      <c r="J16" s="53"/>
      <c r="K16" s="53"/>
      <c r="L16" s="53"/>
      <c r="M16" s="53"/>
    </row>
    <row r="17" spans="1:13" x14ac:dyDescent="0.35">
      <c r="A17" s="1"/>
      <c r="B17" s="3"/>
      <c r="C17" s="56"/>
      <c r="D17" s="6"/>
      <c r="E17" s="6"/>
      <c r="G17" s="6"/>
      <c r="H17" s="1"/>
      <c r="I17" s="1"/>
      <c r="J17" s="53"/>
      <c r="K17" s="53"/>
      <c r="L17" s="53"/>
      <c r="M17" s="53"/>
    </row>
    <row r="18" spans="1:13" x14ac:dyDescent="0.35">
      <c r="A18" s="9" t="s">
        <v>11</v>
      </c>
      <c r="B18" s="38"/>
      <c r="C18" s="5">
        <f>SUM(C8:C17)</f>
        <v>0</v>
      </c>
      <c r="D18" s="10">
        <f>SUM(D8:D17)</f>
        <v>0</v>
      </c>
      <c r="E18" s="10">
        <f>SUM(E8:E17)</f>
        <v>0</v>
      </c>
      <c r="G18" s="10">
        <f>SUM(G8:G17)</f>
        <v>0</v>
      </c>
      <c r="H18" s="10">
        <f>SUM(H8:H17)</f>
        <v>0</v>
      </c>
      <c r="I18" s="10">
        <f>SUM(I8:I17)</f>
        <v>0</v>
      </c>
      <c r="J18" s="53"/>
      <c r="K18" s="53"/>
      <c r="L18" s="53"/>
      <c r="M18" s="53"/>
    </row>
    <row r="19" spans="1:13" x14ac:dyDescent="0.35">
      <c r="A19" s="1"/>
      <c r="B19" s="3"/>
      <c r="C19" s="56"/>
      <c r="D19" s="6"/>
      <c r="E19" s="6"/>
      <c r="G19" s="6"/>
      <c r="H19" s="1"/>
      <c r="I19" s="1"/>
      <c r="J19" s="53"/>
      <c r="K19" s="53"/>
      <c r="L19" s="53"/>
      <c r="M19" s="53"/>
    </row>
    <row r="20" spans="1:13" x14ac:dyDescent="0.35">
      <c r="A20" s="1" t="s">
        <v>12</v>
      </c>
      <c r="B20" s="3"/>
      <c r="C20" s="56"/>
      <c r="D20" s="6"/>
      <c r="E20" s="6"/>
      <c r="G20" s="6"/>
      <c r="H20" s="1"/>
      <c r="I20" s="1"/>
      <c r="J20" s="53"/>
      <c r="K20" s="53"/>
      <c r="L20" s="53"/>
      <c r="M20" s="53"/>
    </row>
    <row r="21" spans="1:13" x14ac:dyDescent="0.35">
      <c r="A21" s="11" t="s">
        <v>7</v>
      </c>
      <c r="B21" s="3"/>
      <c r="C21" s="56">
        <f>C13</f>
        <v>0</v>
      </c>
      <c r="D21" s="8">
        <f>D13</f>
        <v>0</v>
      </c>
      <c r="E21" s="8">
        <f>E13</f>
        <v>0</v>
      </c>
      <c r="G21" s="8">
        <f>G13</f>
        <v>0</v>
      </c>
      <c r="H21" s="8">
        <f>H13</f>
        <v>0</v>
      </c>
      <c r="I21" s="8">
        <f>I13</f>
        <v>0</v>
      </c>
      <c r="J21" s="53"/>
      <c r="K21" s="53"/>
      <c r="L21" s="53"/>
      <c r="M21" s="53"/>
    </row>
    <row r="22" spans="1:13" x14ac:dyDescent="0.35">
      <c r="A22" s="11" t="s">
        <v>10</v>
      </c>
      <c r="B22" s="3"/>
      <c r="C22" s="56">
        <v>0</v>
      </c>
      <c r="D22" s="6">
        <f>D16</f>
        <v>0</v>
      </c>
      <c r="E22" s="6">
        <f>E16</f>
        <v>0</v>
      </c>
      <c r="G22" s="6">
        <v>0</v>
      </c>
      <c r="H22" s="6">
        <f>H16</f>
        <v>0</v>
      </c>
      <c r="I22" s="6">
        <f>I16</f>
        <v>0</v>
      </c>
      <c r="J22" s="53"/>
      <c r="K22" s="53"/>
      <c r="L22" s="53"/>
      <c r="M22" s="53"/>
    </row>
    <row r="23" spans="1:13" x14ac:dyDescent="0.35">
      <c r="A23" s="1"/>
      <c r="B23" s="3"/>
      <c r="C23" s="56"/>
      <c r="D23" s="6"/>
      <c r="E23" s="6"/>
      <c r="G23" s="6"/>
      <c r="H23" s="1"/>
      <c r="I23" s="1"/>
      <c r="J23" s="53"/>
      <c r="K23" s="53"/>
      <c r="L23" s="53"/>
      <c r="M23" s="53"/>
    </row>
    <row r="24" spans="1:13" x14ac:dyDescent="0.35">
      <c r="A24" s="9" t="s">
        <v>13</v>
      </c>
      <c r="B24" s="38"/>
      <c r="C24" s="5">
        <f>C18-C21-C22</f>
        <v>0</v>
      </c>
      <c r="D24" s="10">
        <f>D18-D21-D22</f>
        <v>0</v>
      </c>
      <c r="E24" s="10">
        <f>E18-E21-E22</f>
        <v>0</v>
      </c>
      <c r="G24" s="10">
        <f>G18-G21-G22</f>
        <v>0</v>
      </c>
      <c r="H24" s="10">
        <f>H18-H21-H22</f>
        <v>0</v>
      </c>
      <c r="I24" s="10">
        <f>I18-I21-I22</f>
        <v>0</v>
      </c>
      <c r="J24" s="53"/>
      <c r="K24" s="53"/>
      <c r="L24" s="53"/>
      <c r="M24" s="53"/>
    </row>
    <row r="25" spans="1:13" x14ac:dyDescent="0.35">
      <c r="A25" s="1" t="s">
        <v>14</v>
      </c>
      <c r="B25" s="3"/>
      <c r="C25" s="56"/>
      <c r="D25" s="6"/>
      <c r="E25" s="6"/>
      <c r="G25" s="6"/>
      <c r="H25" s="1"/>
      <c r="I25" s="1"/>
      <c r="J25" s="53"/>
      <c r="K25" s="53"/>
      <c r="L25" s="53"/>
      <c r="M25" s="53"/>
    </row>
    <row r="26" spans="1:13" x14ac:dyDescent="0.35">
      <c r="A26" s="11" t="s">
        <v>16</v>
      </c>
      <c r="B26" s="3"/>
      <c r="C26" s="56">
        <f>IF($C$1&gt;0,2500,0)</f>
        <v>0</v>
      </c>
      <c r="D26" s="6">
        <f t="shared" ref="D26:I26" si="0">IF($C$1&gt;0,2500,0)</f>
        <v>0</v>
      </c>
      <c r="E26" s="6">
        <f t="shared" si="0"/>
        <v>0</v>
      </c>
      <c r="G26" s="6">
        <f t="shared" si="0"/>
        <v>0</v>
      </c>
      <c r="H26" s="6">
        <f t="shared" si="0"/>
        <v>0</v>
      </c>
      <c r="I26" s="6">
        <f t="shared" si="0"/>
        <v>0</v>
      </c>
      <c r="J26" s="53"/>
      <c r="K26" s="53"/>
      <c r="L26" s="53"/>
      <c r="M26" s="53"/>
    </row>
    <row r="27" spans="1:13" x14ac:dyDescent="0.35">
      <c r="A27" s="11" t="s">
        <v>15</v>
      </c>
      <c r="B27" s="3"/>
      <c r="C27" s="56">
        <f t="shared" ref="C27:D27" si="1">C21</f>
        <v>0</v>
      </c>
      <c r="D27" s="8">
        <f t="shared" si="1"/>
        <v>0</v>
      </c>
      <c r="E27" s="8">
        <f t="shared" ref="E27" si="2">E21</f>
        <v>0</v>
      </c>
      <c r="G27" s="8">
        <f t="shared" ref="G27" si="3">G21</f>
        <v>0</v>
      </c>
      <c r="H27" s="8">
        <f>H21</f>
        <v>0</v>
      </c>
      <c r="I27" s="8">
        <f t="shared" ref="I27" si="4">I21</f>
        <v>0</v>
      </c>
      <c r="J27" s="53"/>
      <c r="K27" s="53"/>
      <c r="L27" s="53"/>
      <c r="M27" s="53"/>
    </row>
    <row r="28" spans="1:13" x14ac:dyDescent="0.35">
      <c r="A28" s="11" t="s">
        <v>17</v>
      </c>
      <c r="B28" s="3"/>
      <c r="C28" s="56">
        <v>0</v>
      </c>
      <c r="D28" s="6">
        <v>0</v>
      </c>
      <c r="E28" s="51">
        <v>0</v>
      </c>
      <c r="G28" s="6">
        <v>0</v>
      </c>
      <c r="H28" s="6">
        <v>0</v>
      </c>
      <c r="I28" s="51">
        <v>0</v>
      </c>
      <c r="J28" t="s">
        <v>67</v>
      </c>
    </row>
    <row r="29" spans="1:13" x14ac:dyDescent="0.35">
      <c r="A29" s="11" t="s">
        <v>9</v>
      </c>
      <c r="B29" s="3"/>
      <c r="C29" s="56">
        <v>0</v>
      </c>
      <c r="D29" s="6">
        <v>0</v>
      </c>
      <c r="E29" s="51">
        <v>0</v>
      </c>
      <c r="G29" s="6">
        <v>0</v>
      </c>
      <c r="H29" s="6">
        <v>0</v>
      </c>
      <c r="I29" s="51">
        <v>0</v>
      </c>
      <c r="J29" t="s">
        <v>68</v>
      </c>
    </row>
    <row r="30" spans="1:13" x14ac:dyDescent="0.35">
      <c r="A30" s="1"/>
      <c r="B30" s="3"/>
      <c r="C30" s="56"/>
      <c r="D30" s="6"/>
      <c r="E30" s="6"/>
      <c r="G30" s="6"/>
      <c r="H30" s="1"/>
      <c r="I30" s="1"/>
      <c r="J30" s="53"/>
      <c r="K30" s="53"/>
      <c r="L30" s="53"/>
      <c r="M30" s="53"/>
    </row>
    <row r="31" spans="1:13" x14ac:dyDescent="0.35">
      <c r="A31" s="12" t="s">
        <v>18</v>
      </c>
      <c r="B31" s="39" t="s">
        <v>19</v>
      </c>
      <c r="C31" s="5">
        <f>C24-C27-C26</f>
        <v>0</v>
      </c>
      <c r="D31" s="13">
        <f>D24-D26-D27</f>
        <v>0</v>
      </c>
      <c r="E31" s="13">
        <f>E24-E27-E26</f>
        <v>0</v>
      </c>
      <c r="G31" s="13">
        <f>G24-G27-G26</f>
        <v>0</v>
      </c>
      <c r="H31" s="13">
        <f>H24-H26-H27</f>
        <v>0</v>
      </c>
      <c r="I31" s="13">
        <f>I24-UI27-I26</f>
        <v>0</v>
      </c>
      <c r="J31" s="53"/>
      <c r="K31" s="53"/>
      <c r="L31" s="53"/>
      <c r="M31" s="53"/>
    </row>
    <row r="32" spans="1:13" x14ac:dyDescent="0.35">
      <c r="A32" s="1"/>
      <c r="B32" s="3"/>
      <c r="C32" s="56"/>
      <c r="D32" s="6"/>
      <c r="E32" s="6"/>
      <c r="G32" s="6"/>
      <c r="H32" s="1"/>
      <c r="I32" s="1"/>
      <c r="J32" s="53"/>
      <c r="K32" s="53"/>
      <c r="L32" s="53"/>
      <c r="M32" s="53"/>
    </row>
    <row r="33" spans="1:13" x14ac:dyDescent="0.35">
      <c r="A33" s="14" t="s">
        <v>20</v>
      </c>
      <c r="B33" s="3"/>
      <c r="C33" s="56"/>
      <c r="D33" s="6"/>
      <c r="E33" s="6"/>
      <c r="G33" s="6"/>
      <c r="H33" s="1"/>
      <c r="I33" s="1"/>
      <c r="J33" s="53"/>
      <c r="K33" s="53"/>
      <c r="L33" s="53"/>
      <c r="M33" s="53"/>
    </row>
    <row r="34" spans="1:13" x14ac:dyDescent="0.35">
      <c r="A34" s="1"/>
      <c r="B34" s="3"/>
      <c r="C34" s="57"/>
      <c r="D34" s="2"/>
      <c r="E34" s="2"/>
      <c r="G34" s="2"/>
      <c r="H34" s="3"/>
      <c r="I34" s="3"/>
      <c r="J34" s="53"/>
      <c r="K34" s="53"/>
      <c r="L34" s="53"/>
      <c r="M34" s="53"/>
    </row>
    <row r="35" spans="1:13" s="35" customFormat="1" x14ac:dyDescent="0.35">
      <c r="A35" s="14" t="s">
        <v>21</v>
      </c>
      <c r="B35" s="40"/>
      <c r="C35" s="58">
        <f>C24</f>
        <v>0</v>
      </c>
      <c r="D35" s="15">
        <f>D24-D11-D12</f>
        <v>0</v>
      </c>
      <c r="E35" s="15">
        <f>E24-E26</f>
        <v>0</v>
      </c>
      <c r="G35" s="15">
        <f>G24-G26</f>
        <v>0</v>
      </c>
      <c r="H35" s="15">
        <f>H24-H11-H12</f>
        <v>0</v>
      </c>
      <c r="I35" s="15">
        <f>I24-I26</f>
        <v>0</v>
      </c>
      <c r="J35" s="54"/>
      <c r="K35" s="54"/>
      <c r="L35" s="54"/>
      <c r="M35" s="54"/>
    </row>
    <row r="36" spans="1:13" x14ac:dyDescent="0.35">
      <c r="A36" s="1" t="s">
        <v>22</v>
      </c>
      <c r="B36" s="3"/>
      <c r="C36" s="56">
        <f>IF(C35&gt;0,75000,0)</f>
        <v>0</v>
      </c>
      <c r="D36" s="6">
        <f t="shared" ref="D36" si="5">IF(D35&gt;0,75000,0)</f>
        <v>0</v>
      </c>
      <c r="E36" s="6">
        <f>IF(E35&gt;0,50000,0)</f>
        <v>0</v>
      </c>
      <c r="G36" s="6">
        <f>IF(G35&gt;0,50000,0)</f>
        <v>0</v>
      </c>
      <c r="H36" s="6">
        <f>IF(H35&gt;0,75000,0)</f>
        <v>0</v>
      </c>
      <c r="I36" s="6">
        <f t="shared" ref="I36" si="6">IF(I35&gt;0,50000,0)</f>
        <v>0</v>
      </c>
      <c r="J36" s="53"/>
      <c r="K36" s="53"/>
      <c r="L36" s="53"/>
      <c r="M36" s="53"/>
    </row>
    <row r="37" spans="1:13" x14ac:dyDescent="0.35">
      <c r="A37" s="14" t="s">
        <v>41</v>
      </c>
      <c r="B37" s="3"/>
      <c r="C37" s="56"/>
      <c r="D37" s="6"/>
      <c r="E37" s="6"/>
      <c r="G37" s="6"/>
      <c r="H37" s="1"/>
      <c r="I37" s="1"/>
      <c r="J37" s="53"/>
      <c r="K37" s="53"/>
      <c r="L37" s="53"/>
      <c r="M37" s="53"/>
    </row>
    <row r="38" spans="1:13" x14ac:dyDescent="0.35">
      <c r="A38" s="24" t="s">
        <v>43</v>
      </c>
      <c r="B38" s="3"/>
      <c r="C38" s="56" t="s">
        <v>46</v>
      </c>
      <c r="D38" s="6" t="s">
        <v>46</v>
      </c>
      <c r="E38" s="6">
        <f>IF(SUM(E39:E40)&gt;150000,150000,SUM(E39:E40))</f>
        <v>0</v>
      </c>
      <c r="G38" s="6">
        <f>IF(SUM(G39:G40)&gt;150000,150000,SUM(G39:G40))</f>
        <v>0</v>
      </c>
      <c r="H38" s="6" t="s">
        <v>46</v>
      </c>
      <c r="I38" s="6">
        <f t="shared" ref="I38" si="7">IF(SUM(I39:I40)&gt;150000,150000,SUM(I39:I40))</f>
        <v>0</v>
      </c>
      <c r="J38" s="53"/>
      <c r="K38" s="53"/>
      <c r="L38" s="53"/>
      <c r="M38" s="53"/>
    </row>
    <row r="39" spans="1:13" x14ac:dyDescent="0.35">
      <c r="A39" s="36" t="s">
        <v>44</v>
      </c>
      <c r="B39" s="3"/>
      <c r="C39" s="56" t="s">
        <v>46</v>
      </c>
      <c r="D39" s="6" t="s">
        <v>46</v>
      </c>
      <c r="E39" s="18">
        <f>E27+E28</f>
        <v>0</v>
      </c>
      <c r="G39" s="18">
        <f>G27</f>
        <v>0</v>
      </c>
      <c r="H39" s="6" t="s">
        <v>46</v>
      </c>
      <c r="I39" s="18">
        <f>I27+I28</f>
        <v>0</v>
      </c>
      <c r="J39" s="53"/>
      <c r="K39" s="53"/>
      <c r="L39" s="53"/>
      <c r="M39" s="53"/>
    </row>
    <row r="40" spans="1:13" x14ac:dyDescent="0.35">
      <c r="A40" s="36" t="s">
        <v>45</v>
      </c>
      <c r="B40" s="3"/>
      <c r="C40" s="56" t="s">
        <v>46</v>
      </c>
      <c r="D40" s="6" t="s">
        <v>46</v>
      </c>
      <c r="E40" s="52"/>
      <c r="G40" s="18"/>
      <c r="H40" s="6" t="s">
        <v>46</v>
      </c>
      <c r="I40" s="52"/>
      <c r="J40" s="53" t="s">
        <v>69</v>
      </c>
      <c r="K40" s="53"/>
      <c r="L40" s="53"/>
      <c r="M40" s="53"/>
    </row>
    <row r="41" spans="1:13" x14ac:dyDescent="0.35">
      <c r="A41" s="24" t="s">
        <v>60</v>
      </c>
      <c r="B41" s="3"/>
      <c r="C41" s="56"/>
      <c r="D41" s="6"/>
      <c r="E41" s="34">
        <f>IF(E29&gt;50000,50000,E29)</f>
        <v>0</v>
      </c>
      <c r="G41" s="18"/>
      <c r="H41" s="6"/>
      <c r="I41" s="34">
        <f>IF(I29&gt;50000,50000,I29)</f>
        <v>0</v>
      </c>
      <c r="J41" s="53"/>
      <c r="K41" s="53"/>
      <c r="L41" s="53"/>
      <c r="M41" s="53"/>
    </row>
    <row r="42" spans="1:13" x14ac:dyDescent="0.35">
      <c r="A42" s="24" t="s">
        <v>42</v>
      </c>
      <c r="B42" s="3"/>
      <c r="C42" s="56" t="s">
        <v>46</v>
      </c>
      <c r="D42" s="6" t="s">
        <v>46</v>
      </c>
      <c r="E42" s="51"/>
      <c r="G42" s="6"/>
      <c r="H42" s="6" t="s">
        <v>46</v>
      </c>
      <c r="I42" s="51"/>
      <c r="J42" s="53" t="s">
        <v>70</v>
      </c>
      <c r="K42" s="53"/>
      <c r="L42" s="53"/>
      <c r="M42" s="53"/>
    </row>
    <row r="43" spans="1:13" x14ac:dyDescent="0.35">
      <c r="A43" s="1"/>
      <c r="B43" s="3"/>
      <c r="C43" s="56"/>
      <c r="D43" s="6"/>
      <c r="E43" s="6"/>
      <c r="G43" s="6"/>
      <c r="H43" s="1"/>
      <c r="I43" s="1"/>
      <c r="J43" s="53"/>
      <c r="K43" s="53"/>
      <c r="L43" s="53"/>
      <c r="M43" s="53"/>
    </row>
    <row r="44" spans="1:13" x14ac:dyDescent="0.35">
      <c r="A44" s="14" t="s">
        <v>23</v>
      </c>
      <c r="B44" s="40" t="s">
        <v>24</v>
      </c>
      <c r="C44" s="58">
        <f>C35-C36</f>
        <v>0</v>
      </c>
      <c r="D44" s="15">
        <f>D35-D36</f>
        <v>0</v>
      </c>
      <c r="E44" s="15">
        <f>E35-E36-E38-E41-IF(E42&gt;200000,200000,E42)</f>
        <v>0</v>
      </c>
      <c r="F44" s="14"/>
      <c r="G44" s="15">
        <f>G35-G36-G38-G42</f>
        <v>0</v>
      </c>
      <c r="H44" s="15">
        <f>H35-H36</f>
        <v>0</v>
      </c>
      <c r="I44" s="15">
        <f>I35-I36-I38-I41-IF(I42&gt;200000,200000,I42)</f>
        <v>0</v>
      </c>
      <c r="J44" s="53"/>
      <c r="K44" s="53"/>
      <c r="L44" s="53"/>
      <c r="M44" s="53"/>
    </row>
    <row r="45" spans="1:13" x14ac:dyDescent="0.35">
      <c r="A45" s="16" t="s">
        <v>25</v>
      </c>
      <c r="B45" s="41"/>
      <c r="C45" s="59">
        <f>ROUND(SUM(C46:C52),0)</f>
        <v>0</v>
      </c>
      <c r="D45" s="18">
        <f>SUM(D46:D52)</f>
        <v>0</v>
      </c>
      <c r="E45" s="18">
        <f>SUM(E46:E49)</f>
        <v>0</v>
      </c>
      <c r="F45" s="16"/>
      <c r="G45" s="18">
        <f>ROUND(SUM(G46:G49),0)</f>
        <v>0</v>
      </c>
      <c r="H45" s="18">
        <f>SUM(H46:H52)</f>
        <v>0</v>
      </c>
      <c r="I45" s="18">
        <f>SUM(I46:I49)</f>
        <v>0</v>
      </c>
      <c r="J45" s="53"/>
      <c r="K45" s="53"/>
      <c r="L45" s="53"/>
      <c r="M45" s="53"/>
    </row>
    <row r="46" spans="1:13" hidden="1" x14ac:dyDescent="0.35">
      <c r="A46" s="16" t="s">
        <v>26</v>
      </c>
      <c r="B46" s="42">
        <v>0</v>
      </c>
      <c r="C46" s="59">
        <v>0</v>
      </c>
      <c r="D46" s="18">
        <v>0</v>
      </c>
      <c r="E46" s="18"/>
      <c r="F46" s="19">
        <v>0</v>
      </c>
      <c r="G46" s="18" t="s">
        <v>27</v>
      </c>
      <c r="H46" s="18">
        <v>0</v>
      </c>
      <c r="I46" s="17"/>
      <c r="J46" s="53"/>
      <c r="K46" s="53"/>
      <c r="L46" s="53"/>
      <c r="M46" s="53"/>
    </row>
    <row r="47" spans="1:13" hidden="1" x14ac:dyDescent="0.35">
      <c r="A47" s="16" t="s">
        <v>28</v>
      </c>
      <c r="B47" s="42">
        <v>0.05</v>
      </c>
      <c r="C47" s="59">
        <f>IF(ROUND(IF(C$44&gt;800000,20000,(C$44-400000)*B47),0)&lt;0,0,ROUND(IF(C$44&gt;800000,20000,(C$44-400000)*B47),0))</f>
        <v>0</v>
      </c>
      <c r="D47" s="18">
        <f>IF(ROUND(IF(D$44&gt;800000,20000,(D$44-400000)*B47),0)&lt;0,0,ROUND(IF(D$44&gt;800000,20000,(D$44-400000)*B47),0))</f>
        <v>0</v>
      </c>
      <c r="E47" s="18">
        <f>IF(ROUND(IF(E$44&gt;500000,12500,(E$44-250000)*F47),0)&lt;0,0,ROUND(IF(E$44&gt;500000,12500,(E$44-250000)*F47),0))</f>
        <v>0</v>
      </c>
      <c r="F47" s="19">
        <v>0.05</v>
      </c>
      <c r="G47" s="18">
        <f>IF(ROUND(IF(G$44&gt;500000,12500,(G$44-250000)*F47),0)&lt;0,0,ROUND(IF(G$44&gt;500000,12500,(G$44-250000)*F47),0))</f>
        <v>0</v>
      </c>
      <c r="H47" s="18">
        <f>IF(ROUND(IF(H$44&gt;800000,20000,(H$44-400000)*B47),0)&lt;0,0,ROUND(IF(H$44&gt;800000,20000,(H$44-400000)*B47),0))</f>
        <v>0</v>
      </c>
      <c r="I47" s="18">
        <f>IF(ROUND(IF(I$44&gt;500000,12500,(I$44-250000)*F47),0)&lt;0,0,ROUND(IF(I$44&gt;500000,12500,(I$44-250000)*F47),0))</f>
        <v>0</v>
      </c>
      <c r="J47" s="53"/>
      <c r="K47" s="53"/>
      <c r="L47" s="53"/>
      <c r="M47" s="53"/>
    </row>
    <row r="48" spans="1:13" hidden="1" x14ac:dyDescent="0.35">
      <c r="A48" s="16" t="s">
        <v>29</v>
      </c>
      <c r="B48" s="42">
        <v>0.1</v>
      </c>
      <c r="C48" s="59">
        <f>IF(ROUND(IF(C$44&gt;1200000,40000,(C$44-800000)*B48),0)&lt;0,0,ROUND(IF(C$44&gt;1200000,40000,(C$44-800000)*B48),0))</f>
        <v>0</v>
      </c>
      <c r="D48" s="18">
        <f>IF(ROUND(IF(D$44&gt;1200000,40000,(D$44-800000)*B48),0)&lt;0,0,ROUND(IF(D$44&gt;1200000,40000,(D$44-800000)*B48),0))</f>
        <v>0</v>
      </c>
      <c r="E48" s="18">
        <f>IF(ROUND(IF(E$44&gt;1000000,100000,(E$44-500000)*F48),0)&lt;0,0,ROUND(IF(E$44&gt;1000000,100000,(E$44-500000)*F48),0))</f>
        <v>0</v>
      </c>
      <c r="F48" s="19">
        <v>0.2</v>
      </c>
      <c r="G48" s="18">
        <f>IF(ROUND(IF(G$44&gt;1000000,100000,(G$44-500000)*F48),0)&lt;0,0,ROUND(IF(G$44&gt;1000000,100000,(G$44-500000)*F48),0))</f>
        <v>0</v>
      </c>
      <c r="H48" s="18">
        <f>IF(ROUND(IF(H$44&gt;1200000,40000,(H$44-800000)*B48),0)&lt;0,0,ROUND(IF(H$44&gt;1200000,40000,(H$44-800000)*B48),0))</f>
        <v>0</v>
      </c>
      <c r="I48" s="18">
        <f>IF(ROUND(IF(I$44&gt;1000000,100000,(I$44-500000)*F48),0)&lt;0,0,ROUND(IF(I$44&gt;1000000,100000,(I$44-500000)*F48),0))</f>
        <v>0</v>
      </c>
      <c r="J48" s="53"/>
      <c r="K48" s="53"/>
      <c r="L48" s="53"/>
      <c r="M48" s="53"/>
    </row>
    <row r="49" spans="1:13" hidden="1" x14ac:dyDescent="0.35">
      <c r="A49" s="16" t="s">
        <v>30</v>
      </c>
      <c r="B49" s="42">
        <v>0.15</v>
      </c>
      <c r="C49" s="59">
        <f>IF(ROUND(IF(C$44&gt;1600000,60000,(C$44-1200000)*B49),0)&lt;0,0,ROUND(IF(C$44&gt;1600000,60000,(C$44-1200000)*B49),0))</f>
        <v>0</v>
      </c>
      <c r="D49" s="18">
        <f>IF(ROUND(IF(D$44&gt;1600000,60000,(D$44-1200000)*B49),0)&lt;0,0,ROUND(IF(D$44&gt;1600000,60000,(D$44-1200000)*B49),0))</f>
        <v>0</v>
      </c>
      <c r="E49" s="18">
        <f>IF(ROUND(IF(E$44&gt;1000000,(E$44-1000000)*F49),0)&lt;0,0,ROUND(IF(E$44&gt;1000000,(E$44-1000000)*F49),0))</f>
        <v>0</v>
      </c>
      <c r="F49" s="19">
        <v>0.3</v>
      </c>
      <c r="G49" s="18">
        <f>IF(ROUND(IF(G$44&gt;1000000,(G$44-1000000)*F49),0)&lt;0,0,ROUND(IF(G$44&gt;1000000,(G$44-1000000)*F49),0))</f>
        <v>0</v>
      </c>
      <c r="H49" s="18">
        <f>IF(ROUND(IF(H$44&gt;1600000,60000,(H$44-1200000)*B49),0)&lt;0,0,ROUND(IF(H$44&gt;1600000,60000,(H$44-1200000)*B49),0))</f>
        <v>0</v>
      </c>
      <c r="I49" s="18">
        <f>IF(ROUND(IF(I$44&gt;1000000,(I$44-1000000)*F49),0)&lt;0,0,ROUND(IF(I$44&gt;1000000,(I$44-1000000)*F49),0))</f>
        <v>0</v>
      </c>
      <c r="J49" s="53"/>
      <c r="K49" s="53"/>
      <c r="L49" s="53"/>
      <c r="M49" s="53"/>
    </row>
    <row r="50" spans="1:13" hidden="1" x14ac:dyDescent="0.35">
      <c r="A50" s="16" t="s">
        <v>31</v>
      </c>
      <c r="B50" s="42">
        <v>0.2</v>
      </c>
      <c r="C50" s="59">
        <f>IF(ROUND(IF(C$44&gt;2000000,80000,(C$44-1600000)*B50),0)&lt;0,0,ROUND(IF(C$44&gt;2000000,80000,(C$44-1600000)*B50),0))</f>
        <v>0</v>
      </c>
      <c r="D50" s="18">
        <f>IF(ROUND(IF(D$44&gt;2000000,80000,(D$44-1600000)*B50),0)&lt;0,0,ROUND(IF(D$44&gt;2000000,80000,(D$44-1600000)*B50),0))</f>
        <v>0</v>
      </c>
      <c r="E50" s="18"/>
      <c r="F50" s="19"/>
      <c r="G50" s="18"/>
      <c r="H50" s="18">
        <f>IF(ROUND(IF(H$44&gt;2000000,80000,(H$44-1600000)*B50),0)&lt;0,0,ROUND(IF(H$44&gt;2000000,80000,(H$44-1600000)*B50),0))</f>
        <v>0</v>
      </c>
      <c r="I50" s="17"/>
      <c r="J50" s="53"/>
      <c r="K50" s="53"/>
      <c r="L50" s="53"/>
      <c r="M50" s="53"/>
    </row>
    <row r="51" spans="1:13" hidden="1" x14ac:dyDescent="0.35">
      <c r="A51" s="16" t="s">
        <v>32</v>
      </c>
      <c r="B51" s="42">
        <v>0.25</v>
      </c>
      <c r="C51" s="59">
        <f>IF(ROUND(IF(C$44&gt;2400000,100000,(C$44-2000000)*B51),0)&lt;0,0,ROUND(IF(C$44&gt;2400000,100000,(C$44-2000000)*B51),0))</f>
        <v>0</v>
      </c>
      <c r="D51" s="18">
        <f>IF(ROUND(IF(D$44&gt;2400000,100000,(D$44-2000000)*B51),0)&lt;0,0,ROUND(IF(D$44&gt;2400000,100000,(D$44-2000000)*C51),0))</f>
        <v>0</v>
      </c>
      <c r="E51" s="18"/>
      <c r="G51" s="18"/>
      <c r="H51" s="18">
        <f>IF(ROUND(IF(H$44&gt;2400000,100000,(H$44-2000000)*B51),0)&lt;0,0,ROUND(IF(H$44&gt;2400000,100000,(H$44-2000000)*B51),0))</f>
        <v>0</v>
      </c>
      <c r="I51" s="17"/>
      <c r="J51" s="53"/>
      <c r="K51" s="53"/>
      <c r="L51" s="53"/>
      <c r="M51" s="53"/>
    </row>
    <row r="52" spans="1:13" hidden="1" x14ac:dyDescent="0.35">
      <c r="A52" s="16" t="s">
        <v>33</v>
      </c>
      <c r="B52" s="42">
        <v>0.3</v>
      </c>
      <c r="C52" s="59">
        <f>IF(ROUND(IF(C$44&gt;2400000,(C$44-2400000)*B52),0)&lt;0,0,ROUND(IF(C$44&gt;2400000,(C$44-2400000)*B52),0))</f>
        <v>0</v>
      </c>
      <c r="D52" s="18">
        <f>IF(ROUND(IF(D$44&gt;2400000,(D$44-2400000)*B$52),0)&lt;0,0,ROUND(IF(D$44&gt;2400000,(D$44-2400000)*B$52),0))</f>
        <v>0</v>
      </c>
      <c r="E52" s="18"/>
      <c r="G52" s="18"/>
      <c r="H52" s="18">
        <f>IF(ROUND(IF(H$44&gt;2400000,(H$44-2400000)*B$52),0)&lt;0,0,ROUND(IF(H$44&gt;2400000,(H$44-2400000)*B$52),0))</f>
        <v>0</v>
      </c>
      <c r="I52" s="17"/>
      <c r="J52" s="53"/>
      <c r="K52" s="53"/>
      <c r="L52" s="53"/>
      <c r="M52" s="53"/>
    </row>
    <row r="53" spans="1:13" x14ac:dyDescent="0.35">
      <c r="A53" s="16" t="s">
        <v>34</v>
      </c>
      <c r="B53" s="41"/>
      <c r="C53" s="59">
        <f>ROUND(C45*0.04,0)</f>
        <v>0</v>
      </c>
      <c r="D53" s="18">
        <f>D45*0.04</f>
        <v>0</v>
      </c>
      <c r="E53" s="18">
        <f>E45*0.04</f>
        <v>0</v>
      </c>
      <c r="G53" s="18">
        <f>ROUND(G45*0.04,0)</f>
        <v>0</v>
      </c>
      <c r="H53" s="18">
        <f>H45*0.04</f>
        <v>0</v>
      </c>
      <c r="I53" s="18">
        <f>I45*0.04</f>
        <v>0</v>
      </c>
      <c r="J53" s="53"/>
      <c r="K53" s="53"/>
      <c r="L53" s="53"/>
      <c r="M53" s="53"/>
    </row>
    <row r="54" spans="1:13" x14ac:dyDescent="0.35">
      <c r="A54" s="16" t="s">
        <v>35</v>
      </c>
      <c r="B54" s="41"/>
      <c r="C54" s="59">
        <f>IF(C44&lt;1200000,-1*(C45+C53),0)</f>
        <v>0</v>
      </c>
      <c r="D54" s="18">
        <f>IF(D44&lt;1200000,-1*(D45+D53),0)</f>
        <v>0</v>
      </c>
      <c r="E54" s="18">
        <f>IF(E44&lt;500000,-1*(E45+E53),0)</f>
        <v>0</v>
      </c>
      <c r="G54" s="18">
        <f>IF(G44&lt;500000,-1*(G45+G53),0)</f>
        <v>0</v>
      </c>
      <c r="H54" s="18">
        <f>IF(H44&lt;1200000,-1*(H45+H53),0)</f>
        <v>0</v>
      </c>
      <c r="I54" s="18">
        <f>IF(I44&lt;500000,-1*(I45+I53),0)</f>
        <v>0</v>
      </c>
      <c r="J54" s="53"/>
      <c r="K54" s="53"/>
      <c r="L54" s="53"/>
      <c r="M54" s="53"/>
    </row>
    <row r="55" spans="1:13" x14ac:dyDescent="0.35">
      <c r="A55" s="20" t="s">
        <v>36</v>
      </c>
      <c r="B55" s="43"/>
      <c r="C55" s="5">
        <f>C45+C53+C54</f>
        <v>0</v>
      </c>
      <c r="D55" s="21">
        <f>(D45+D53)+D54</f>
        <v>0</v>
      </c>
      <c r="E55" s="21">
        <f>E45+E53+E54</f>
        <v>0</v>
      </c>
      <c r="G55" s="21">
        <f>G45+G53+G54</f>
        <v>0</v>
      </c>
      <c r="H55" s="21">
        <f>(H45+H53)+H54</f>
        <v>0</v>
      </c>
      <c r="I55" s="21">
        <f>I45+I53+I54</f>
        <v>0</v>
      </c>
      <c r="J55" s="53"/>
      <c r="K55" s="53"/>
      <c r="L55" s="53"/>
      <c r="M55" s="53"/>
    </row>
    <row r="56" spans="1:13" x14ac:dyDescent="0.35">
      <c r="A56" s="1"/>
      <c r="B56" s="3"/>
      <c r="C56" s="56"/>
      <c r="D56" s="6"/>
      <c r="E56" s="6"/>
      <c r="G56" s="6"/>
      <c r="H56" s="1"/>
      <c r="I56" s="1"/>
      <c r="J56" s="53"/>
      <c r="K56" s="53"/>
      <c r="L56" s="53"/>
      <c r="M56" s="53"/>
    </row>
    <row r="57" spans="1:13" x14ac:dyDescent="0.35">
      <c r="A57" s="12" t="s">
        <v>37</v>
      </c>
      <c r="B57" s="39" t="s">
        <v>38</v>
      </c>
      <c r="C57" s="5">
        <f>C31-C55</f>
        <v>0</v>
      </c>
      <c r="D57" s="13">
        <f>D31-D55</f>
        <v>0</v>
      </c>
      <c r="E57" s="13">
        <f>E31-E55</f>
        <v>0</v>
      </c>
      <c r="G57" s="13">
        <f>G31-G55</f>
        <v>0</v>
      </c>
      <c r="H57" s="13">
        <f>H31-H55</f>
        <v>0</v>
      </c>
      <c r="I57" s="13">
        <f>I31-I55</f>
        <v>0</v>
      </c>
      <c r="J57" s="53"/>
      <c r="K57" s="53"/>
      <c r="L57" s="53"/>
      <c r="M57" s="53"/>
    </row>
    <row r="58" spans="1:13" x14ac:dyDescent="0.35">
      <c r="A58" s="22" t="s">
        <v>39</v>
      </c>
      <c r="B58" s="44"/>
      <c r="C58" s="5">
        <f>ROUND(C57/12,0)</f>
        <v>0</v>
      </c>
      <c r="D58" s="23">
        <f>ROUND(D57/12,0)</f>
        <v>0</v>
      </c>
      <c r="E58" s="23">
        <f>ROUND(E57/12,0)</f>
        <v>0</v>
      </c>
      <c r="G58" s="23">
        <f>ROUND(G57/12,0)</f>
        <v>0</v>
      </c>
      <c r="H58" s="23">
        <f>ROUND(H57/12,0)</f>
        <v>0</v>
      </c>
      <c r="I58" s="23">
        <f>ROUND(I57/12,0)</f>
        <v>0</v>
      </c>
      <c r="J58" s="53"/>
      <c r="K58" s="53"/>
      <c r="L58" s="53"/>
      <c r="M58" s="53"/>
    </row>
    <row r="59" spans="1:13" x14ac:dyDescent="0.35">
      <c r="A59" s="53"/>
      <c r="B59" s="55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spans="1:13" x14ac:dyDescent="0.35">
      <c r="A60" s="53"/>
      <c r="B60" s="55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spans="1:13" x14ac:dyDescent="0.35">
      <c r="A61" s="53"/>
      <c r="B61" s="55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spans="1:13" x14ac:dyDescent="0.35">
      <c r="A62" s="53"/>
      <c r="B62" s="55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</sheetData>
  <sheetProtection algorithmName="SHA-512" hashValue="7asYkHBhtzFhZ03hEkxZ5MSlGPWQw5vYWabDlmv5RMPEvMYQl9n9TJD4xX/4mHfRqCUiau4geDGgLcAkMuT8mQ==" saltValue="X4QZwOEZHNxMGzkLRaRdQg==" spinCount="100000" sheet="1" objects="1" scenarios="1"/>
  <mergeCells count="4">
    <mergeCell ref="A1:B1"/>
    <mergeCell ref="A3:B3"/>
    <mergeCell ref="A4:B4"/>
    <mergeCell ref="A2:B2"/>
  </mergeCells>
  <dataValidations count="1">
    <dataValidation type="list" allowBlank="1" showInputMessage="1" showErrorMessage="1" sqref="C4" xr:uid="{4A7C2599-D421-49F4-B321-23B43D68B816}">
      <formula1>INDIRECT(C3)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0160-4884-44CE-A8C3-1DDBA5862C0C}">
  <dimension ref="A1:E10"/>
  <sheetViews>
    <sheetView workbookViewId="0">
      <selection activeCell="E8" sqref="E8"/>
    </sheetView>
  </sheetViews>
  <sheetFormatPr defaultRowHeight="14.5" x14ac:dyDescent="0.35"/>
  <cols>
    <col min="1" max="4" width="11.453125" bestFit="1" customWidth="1"/>
    <col min="5" max="5" width="13.7265625" bestFit="1" customWidth="1"/>
  </cols>
  <sheetData>
    <row r="1" spans="1:5" x14ac:dyDescent="0.35">
      <c r="A1" s="31" t="s">
        <v>56</v>
      </c>
      <c r="B1" s="32" t="s">
        <v>57</v>
      </c>
      <c r="C1" s="32" t="s">
        <v>58</v>
      </c>
      <c r="D1" s="32" t="s">
        <v>59</v>
      </c>
      <c r="E1" s="33" t="s">
        <v>55</v>
      </c>
    </row>
    <row r="2" spans="1:5" x14ac:dyDescent="0.35">
      <c r="A2" s="25" t="s">
        <v>47</v>
      </c>
      <c r="B2" s="26" t="s">
        <v>48</v>
      </c>
      <c r="C2" s="26" t="s">
        <v>48</v>
      </c>
      <c r="D2" s="26" t="s">
        <v>48</v>
      </c>
      <c r="E2" s="27" t="s">
        <v>48</v>
      </c>
    </row>
    <row r="3" spans="1:5" x14ac:dyDescent="0.35">
      <c r="A3" s="25"/>
      <c r="B3" s="26" t="s">
        <v>49</v>
      </c>
      <c r="C3" s="26" t="s">
        <v>49</v>
      </c>
      <c r="D3" s="26" t="s">
        <v>49</v>
      </c>
      <c r="E3" s="27" t="s">
        <v>49</v>
      </c>
    </row>
    <row r="4" spans="1:5" x14ac:dyDescent="0.35">
      <c r="A4" s="25"/>
      <c r="B4" s="26" t="s">
        <v>47</v>
      </c>
      <c r="C4" s="26" t="s">
        <v>50</v>
      </c>
      <c r="D4" s="26" t="s">
        <v>50</v>
      </c>
      <c r="E4" s="27" t="s">
        <v>50</v>
      </c>
    </row>
    <row r="5" spans="1:5" x14ac:dyDescent="0.35">
      <c r="A5" s="25"/>
      <c r="B5" s="26"/>
      <c r="C5" s="26" t="s">
        <v>47</v>
      </c>
      <c r="D5" s="26" t="s">
        <v>51</v>
      </c>
      <c r="E5" s="27" t="s">
        <v>51</v>
      </c>
    </row>
    <row r="6" spans="1:5" x14ac:dyDescent="0.35">
      <c r="A6" s="25"/>
      <c r="B6" s="26"/>
      <c r="C6" s="26"/>
      <c r="D6" s="26" t="s">
        <v>47</v>
      </c>
      <c r="E6" s="27" t="s">
        <v>52</v>
      </c>
    </row>
    <row r="7" spans="1:5" x14ac:dyDescent="0.35">
      <c r="A7" s="25"/>
      <c r="B7" s="26"/>
      <c r="C7" s="26"/>
      <c r="D7" s="26"/>
      <c r="E7" s="27" t="s">
        <v>47</v>
      </c>
    </row>
    <row r="8" spans="1:5" x14ac:dyDescent="0.35">
      <c r="A8" s="25"/>
      <c r="B8" s="26"/>
      <c r="C8" s="26"/>
      <c r="D8" s="26"/>
      <c r="E8" s="27"/>
    </row>
    <row r="9" spans="1:5" x14ac:dyDescent="0.35">
      <c r="A9" s="25"/>
      <c r="B9" s="26"/>
      <c r="C9" s="26"/>
      <c r="D9" s="26"/>
      <c r="E9" s="27"/>
    </row>
    <row r="10" spans="1:5" ht="15" thickBot="1" x14ac:dyDescent="0.4">
      <c r="A10" s="28"/>
      <c r="B10" s="29"/>
      <c r="C10" s="29"/>
      <c r="D10" s="29"/>
      <c r="E10" s="3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5e1a618-b91e-426f-b6f3-429d06158541}" enabled="0" method="" siteId="{c5e1a618-b91e-426f-b6f3-429d061585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Computation</vt:lpstr>
      <vt:lpstr>Lists</vt:lpstr>
      <vt:lpstr>SB_1</vt:lpstr>
      <vt:lpstr>SB_2</vt:lpstr>
      <vt:lpstr>SB_3</vt:lpstr>
      <vt:lpstr>SB_4</vt:lpstr>
      <vt:lpstr>SB_5</vt:lpstr>
    </vt:vector>
  </TitlesOfParts>
  <Company>Crimsonlogic Pte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Pranesh Rajendra</dc:creator>
  <cp:lastModifiedBy>Pranesh Rajendra</cp:lastModifiedBy>
  <dcterms:created xsi:type="dcterms:W3CDTF">2026-07-09T06:19:13Z</dcterms:created>
  <dcterms:modified xsi:type="dcterms:W3CDTF">2026-07-13T09:33:30Z</dcterms:modified>
</cp:coreProperties>
</file>